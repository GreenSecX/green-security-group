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  <sheet xmlns:r="http://schemas.openxmlformats.org/officeDocument/2006/relationships"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1A7A3C"/>
      <sz val="8"/>
    </font>
    <font>
      <name val="Calibri"/>
      <b val="1"/>
      <color rgb="00FFFFFF"/>
      <sz val="8"/>
    </font>
    <font>
      <name val="Calibri"/>
      <b val="1"/>
      <color rgb="001A7A3C"/>
      <sz val="8.5"/>
    </font>
    <font>
      <name val="Calibri"/>
      <color rgb="003D6B50"/>
      <sz val="8.5"/>
    </font>
    <font>
      <name val="Calibri"/>
      <b val="1"/>
      <color rgb="001A2E22"/>
      <sz val="9"/>
    </font>
    <font>
      <name val="Calibri"/>
      <b val="1"/>
      <color rgb="001A2E22"/>
      <sz val="8.5"/>
    </font>
    <font>
      <name val="Calibri"/>
      <b val="1"/>
      <color rgb="00FFFFFF"/>
      <sz val="9"/>
    </font>
    <font>
      <name val="Calibri"/>
      <b val="1"/>
      <color rgb="00FFFFFF"/>
      <sz val="8.5"/>
    </font>
    <font>
      <name val="Calibri"/>
      <b val="1"/>
      <color rgb="006B9E80"/>
      <sz val="8.5"/>
    </font>
  </fonts>
  <fills count="9">
    <fill>
      <patternFill/>
    </fill>
    <fill>
      <patternFill patternType="gray125"/>
    </fill>
    <fill>
      <patternFill patternType="solid">
        <fgColor rgb="001A7A3C"/>
      </patternFill>
    </fill>
    <fill>
      <patternFill patternType="solid">
        <fgColor rgb="00DCFCE7"/>
      </patternFill>
    </fill>
    <fill>
      <patternFill patternType="solid">
        <fgColor rgb="00FFFFFF"/>
      </patternFill>
    </fill>
    <fill>
      <patternFill patternType="solid">
        <fgColor rgb="00F8FAF9"/>
      </patternFill>
    </fill>
    <fill>
      <patternFill patternType="solid">
        <fgColor rgb="00F1F5F2"/>
      </patternFill>
    </fill>
    <fill>
      <patternFill patternType="solid">
        <fgColor rgb="00B91C1C"/>
      </patternFill>
    </fill>
    <fill>
      <patternFill patternType="solid">
        <fgColor rgb="00C17B00"/>
      </patternFill>
    </fill>
  </fills>
  <borders count="3">
    <border>
      <left/>
      <right/>
      <top/>
      <bottom/>
      <diagonal/>
    </border>
    <border>
      <left style="thin">
        <color rgb="00B8D4C2"/>
      </left>
      <right style="thin">
        <color rgb="00B8D4C2"/>
      </right>
      <top style="thin">
        <color rgb="00B8D4C2"/>
      </top>
      <bottom style="thin">
        <color rgb="00B8D4C2"/>
      </bottom>
    </border>
    <border>
      <left style="thin">
        <color rgb="00D4E4DA"/>
      </left>
      <right style="thin">
        <color rgb="00D4E4DA"/>
      </right>
      <top style="thin">
        <color rgb="00D4E4DA"/>
      </top>
      <bottom style="thin">
        <color rgb="00D4E4DA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left" vertical="center"/>
    </xf>
    <xf numFmtId="0" fontId="4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center" vertical="center" wrapText="1"/>
    </xf>
    <xf numFmtId="0" fontId="9" fillId="8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10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dxfs count="4">
    <dxf>
      <font>
        <name val="Calibri"/>
        <b val="1"/>
        <color rgb="00FFFFFF"/>
        <sz val="8.5"/>
      </font>
      <fill>
        <patternFill patternType="solid">
          <fgColor rgb="00B91C1C"/>
        </patternFill>
      </fill>
    </dxf>
    <dxf>
      <font>
        <name val="Calibri"/>
        <b val="1"/>
        <color rgb="00FFFFFF"/>
        <sz val="8.5"/>
      </font>
      <fill>
        <patternFill patternType="solid">
          <fgColor rgb="00C17B00"/>
        </patternFill>
      </fill>
    </dxf>
    <dxf>
      <font>
        <name val="Calibri"/>
        <b val="1"/>
        <color rgb="001A7A3C"/>
        <sz val="8.5"/>
      </font>
      <fill>
        <patternFill patternType="solid">
          <fgColor rgb="00DCFCE7"/>
        </patternFill>
      </fill>
    </dxf>
    <dxf>
      <font>
        <name val="Calibri"/>
        <b val="1"/>
        <color rgb="006B9E80"/>
        <sz val="8.5"/>
      </font>
      <fill>
        <patternFill patternType="solid">
          <fgColor rgb="00F8FAF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8" customWidth="1" min="3" max="3"/>
    <col width="38" customWidth="1" min="4" max="4"/>
    <col width="20" customWidth="1" min="5" max="5"/>
    <col width="10" customWidth="1" min="6" max="6"/>
    <col width="10" customWidth="1" min="7" max="7"/>
    <col width="10" customWidth="1" min="8" max="8"/>
    <col width="12" customWidth="1" min="9" max="9"/>
    <col width="16" customWidth="1" min="10" max="10"/>
    <col width="34" customWidth="1" min="11" max="11"/>
    <col width="11" customWidth="1" min="12" max="12"/>
    <col width="12" customWidth="1" min="13" max="13"/>
  </cols>
  <sheetData>
    <row r="1" ht="38" customHeight="1">
      <c r="A1" s="1" t="inlineStr">
        <is>
          <t>Green Security Group  ·  Business Security Risk Register</t>
        </is>
      </c>
    </row>
    <row r="2" ht="20" customHeight="1">
      <c r="A2" s="2" t="inlineStr">
        <is>
          <t>greensecuritygroup.com  ·  paul@greensecuritygroup.com  ·  Paul Green, CISSP</t>
        </is>
      </c>
    </row>
    <row r="3" ht="30" customHeight="1">
      <c r="A3" s="3" t="inlineStr">
        <is>
          <t>ID</t>
        </is>
      </c>
      <c r="B3" s="3" t="inlineStr">
        <is>
          <t>Date</t>
        </is>
      </c>
      <c r="C3" s="3" t="inlineStr">
        <is>
          <t>Area</t>
        </is>
      </c>
      <c r="D3" s="3" t="inlineStr">
        <is>
          <t>What is the risk?</t>
        </is>
      </c>
      <c r="E3" s="3" t="inlineStr">
        <is>
          <t>Where does it come from?</t>
        </is>
      </c>
      <c r="F3" s="3" t="inlineStr">
        <is>
          <t>How likely?
(1-5)</t>
        </is>
      </c>
      <c r="G3" s="3" t="inlineStr">
        <is>
          <t>How bad?
(1-5)</t>
        </is>
      </c>
      <c r="H3" s="3" t="inlineStr">
        <is>
          <t>Score
(F x G)</t>
        </is>
      </c>
      <c r="I3" s="3" t="inlineStr">
        <is>
          <t>Level</t>
        </is>
      </c>
      <c r="J3" s="3" t="inlineStr">
        <is>
          <t>Owner</t>
        </is>
      </c>
      <c r="K3" s="3" t="inlineStr">
        <is>
          <t>What is the plan to fix it?</t>
        </is>
      </c>
      <c r="L3" s="3" t="inlineStr">
        <is>
          <t>Target Date</t>
        </is>
      </c>
      <c r="M3" s="3" t="inlineStr">
        <is>
          <t>Status</t>
        </is>
      </c>
    </row>
    <row r="4" ht="38" customHeight="1">
      <c r="A4" s="4" t="inlineStr">
        <is>
          <t>R-001</t>
        </is>
      </c>
      <c r="B4" s="5" t="inlineStr"/>
      <c r="C4" s="6" t="inlineStr">
        <is>
          <t>Protecting Your Physical Space</t>
        </is>
      </c>
      <c r="D4" s="6" t="inlineStr">
        <is>
          <t>No lock on the room where servers and network equipment are kept</t>
        </is>
      </c>
      <c r="E4" s="6" t="inlineStr">
        <is>
          <t>Anyone who enters the office</t>
        </is>
      </c>
      <c r="F4" s="5" t="n">
        <v>3</v>
      </c>
      <c r="G4" s="5" t="n">
        <v>4</v>
      </c>
      <c r="H4" s="7">
        <f>IF(AND(ISNUMBER(F4),ISNUMBER(G4)),F4*G4,"")</f>
        <v/>
      </c>
      <c r="I4" s="8">
        <f>IF(H4="","",IF(H4&gt;=20,"CRITICAL",IF(H4&gt;=12,"HIGH",IF(H4&gt;=6,"MEDIUM","LOW"))))</f>
        <v/>
      </c>
      <c r="J4" s="6" t="inlineStr">
        <is>
          <t>Owner</t>
        </is>
      </c>
      <c r="K4" s="6" t="inlineStr">
        <is>
          <t>Install a keyed lock on the server room. Limit who has a key.</t>
        </is>
      </c>
      <c r="L4" s="5" t="inlineStr"/>
      <c r="M4" s="5" t="inlineStr">
        <is>
          <t>Open</t>
        </is>
      </c>
    </row>
    <row r="5" ht="38" customHeight="1">
      <c r="A5" s="9" t="inlineStr">
        <is>
          <t>R-002</t>
        </is>
      </c>
      <c r="B5" s="10" t="inlineStr"/>
      <c r="C5" s="11" t="inlineStr">
        <is>
          <t>Protecting Your Physical Space</t>
        </is>
      </c>
      <c r="D5" s="11" t="inlineStr">
        <is>
          <t>No record kept of who accesses the server room and when</t>
        </is>
      </c>
      <c r="E5" s="11" t="inlineStr">
        <is>
          <t>Internal</t>
        </is>
      </c>
      <c r="F5" s="10" t="n">
        <v>2</v>
      </c>
      <c r="G5" s="10" t="n">
        <v>3</v>
      </c>
      <c r="H5" s="12">
        <f>IF(AND(ISNUMBER(F5),ISNUMBER(G5)),F5*G5,"")</f>
        <v/>
      </c>
      <c r="I5" s="13">
        <f>IF(H5="","",IF(H5&gt;=20,"CRITICAL",IF(H5&gt;=12,"HIGH",IF(H5&gt;=6,"MEDIUM","LOW"))))</f>
        <v/>
      </c>
      <c r="J5" s="11" t="inlineStr">
        <is>
          <t>Office Manager</t>
        </is>
      </c>
      <c r="K5" s="11" t="inlineStr">
        <is>
          <t>Start a simple paper visitor log. Review it monthly.</t>
        </is>
      </c>
      <c r="L5" s="10" t="inlineStr"/>
      <c r="M5" s="10" t="inlineStr">
        <is>
          <t>Open</t>
        </is>
      </c>
    </row>
    <row r="6" ht="38" customHeight="1">
      <c r="A6" s="4" t="inlineStr">
        <is>
          <t>R-003</t>
        </is>
      </c>
      <c r="B6" s="5" t="inlineStr"/>
      <c r="C6" s="6" t="inlineStr">
        <is>
          <t>Controlling Who Can Access What</t>
        </is>
      </c>
      <c r="D6" s="6" t="inlineStr">
        <is>
          <t>Multiple staff share the same login for key systems</t>
        </is>
      </c>
      <c r="E6" s="6" t="inlineStr">
        <is>
          <t>Internal</t>
        </is>
      </c>
      <c r="F6" s="5" t="n">
        <v>4</v>
      </c>
      <c r="G6" s="5" t="n">
        <v>5</v>
      </c>
      <c r="H6" s="7">
        <f>IF(AND(ISNUMBER(F6),ISNUMBER(G6)),F6*G6,"")</f>
        <v/>
      </c>
      <c r="I6" s="8">
        <f>IF(H6="","",IF(H6&gt;=20,"CRITICAL",IF(H6&gt;=12,"HIGH",IF(H6&gt;=6,"MEDIUM","LOW"))))</f>
        <v/>
      </c>
      <c r="J6" s="6" t="inlineStr">
        <is>
          <t>Owner</t>
        </is>
      </c>
      <c r="K6" s="6" t="inlineStr">
        <is>
          <t>Create individual logins for every staff member. Remove shared accounts.</t>
        </is>
      </c>
      <c r="L6" s="5" t="inlineStr"/>
      <c r="M6" s="5" t="inlineStr">
        <is>
          <t>Open</t>
        </is>
      </c>
    </row>
    <row r="7" ht="38" customHeight="1">
      <c r="A7" s="9" t="inlineStr">
        <is>
          <t>R-004</t>
        </is>
      </c>
      <c r="B7" s="10" t="inlineStr"/>
      <c r="C7" s="11" t="inlineStr">
        <is>
          <t>Controlling Who Can Access What</t>
        </is>
      </c>
      <c r="D7" s="11" t="inlineStr">
        <is>
          <t>Two-step verification not turned on for business email</t>
        </is>
      </c>
      <c r="E7" s="11" t="inlineStr">
        <is>
          <t>External</t>
        </is>
      </c>
      <c r="F7" s="10" t="n">
        <v>4</v>
      </c>
      <c r="G7" s="10" t="n">
        <v>5</v>
      </c>
      <c r="H7" s="12">
        <f>IF(AND(ISNUMBER(F7),ISNUMBER(G7)),F7*G7,"")</f>
        <v/>
      </c>
      <c r="I7" s="13">
        <f>IF(H7="","",IF(H7&gt;=20,"CRITICAL",IF(H7&gt;=12,"HIGH",IF(H7&gt;=6,"MEDIUM","LOW"))))</f>
        <v/>
      </c>
      <c r="J7" s="11" t="inlineStr">
        <is>
          <t>Owner</t>
        </is>
      </c>
      <c r="K7" s="11" t="inlineStr">
        <is>
          <t>Enable two-step verification in Microsoft 365 or Google Workspace today.</t>
        </is>
      </c>
      <c r="L7" s="10" t="inlineStr"/>
      <c r="M7" s="10" t="inlineStr">
        <is>
          <t>Open</t>
        </is>
      </c>
    </row>
    <row r="8" ht="38" customHeight="1">
      <c r="A8" s="4" t="inlineStr">
        <is>
          <t>R-005</t>
        </is>
      </c>
      <c r="B8" s="5" t="inlineStr"/>
      <c r="C8" s="6" t="inlineStr">
        <is>
          <t>Controlling Who Can Access What</t>
        </is>
      </c>
      <c r="D8" s="6" t="inlineStr">
        <is>
          <t>Former employee accounts not removed when they left</t>
        </is>
      </c>
      <c r="E8" s="6" t="inlineStr">
        <is>
          <t>Internal</t>
        </is>
      </c>
      <c r="F8" s="5" t="n">
        <v>3</v>
      </c>
      <c r="G8" s="5" t="n">
        <v>4</v>
      </c>
      <c r="H8" s="7">
        <f>IF(AND(ISNUMBER(F8),ISNUMBER(G8)),F8*G8,"")</f>
        <v/>
      </c>
      <c r="I8" s="8">
        <f>IF(H8="","",IF(H8&gt;=20,"CRITICAL",IF(H8&gt;=12,"HIGH",IF(H8&gt;=6,"MEDIUM","LOW"))))</f>
        <v/>
      </c>
      <c r="J8" s="6" t="inlineStr">
        <is>
          <t>Owner / HR</t>
        </is>
      </c>
      <c r="K8" s="6" t="inlineStr">
        <is>
          <t>Disable accounts on the last day of employment. Add to offboarding checklist.</t>
        </is>
      </c>
      <c r="L8" s="5" t="inlineStr"/>
      <c r="M8" s="5" t="inlineStr">
        <is>
          <t>Open</t>
        </is>
      </c>
    </row>
    <row r="9" ht="38" customHeight="1">
      <c r="A9" s="9" t="inlineStr">
        <is>
          <t>R-006</t>
        </is>
      </c>
      <c r="B9" s="10" t="inlineStr"/>
      <c r="C9" s="11" t="inlineStr">
        <is>
          <t>Controlling Who Can Access What</t>
        </is>
      </c>
      <c r="D9" s="11" t="inlineStr">
        <is>
          <t>No written password rules — staff use whatever they want</t>
        </is>
      </c>
      <c r="E9" s="11" t="inlineStr">
        <is>
          <t>Internal</t>
        </is>
      </c>
      <c r="F9" s="10" t="n">
        <v>3</v>
      </c>
      <c r="G9" s="10" t="n">
        <v>4</v>
      </c>
      <c r="H9" s="12">
        <f>IF(AND(ISNUMBER(F9),ISNUMBER(G9)),F9*G9,"")</f>
        <v/>
      </c>
      <c r="I9" s="13">
        <f>IF(H9="","",IF(H9&gt;=20,"CRITICAL",IF(H9&gt;=12,"HIGH",IF(H9&gt;=6,"MEDIUM","LOW"))))</f>
        <v/>
      </c>
      <c r="J9" s="11" t="inlineStr">
        <is>
          <t>Owner</t>
        </is>
      </c>
      <c r="K9" s="11" t="inlineStr">
        <is>
          <t>Distribute and enforce the Password Policy. Set up a business password manager.</t>
        </is>
      </c>
      <c r="L9" s="10" t="inlineStr"/>
      <c r="M9" s="10" t="inlineStr">
        <is>
          <t>Open</t>
        </is>
      </c>
    </row>
    <row r="10" ht="38" customHeight="1">
      <c r="A10" s="4" t="inlineStr">
        <is>
          <t>R-007</t>
        </is>
      </c>
      <c r="B10" s="5" t="inlineStr"/>
      <c r="C10" s="6" t="inlineStr">
        <is>
          <t>Securing Your Network and Devices</t>
        </is>
      </c>
      <c r="D10" s="6" t="inlineStr">
        <is>
          <t>Using a basic home-style router, not a business firewall</t>
        </is>
      </c>
      <c r="E10" s="6" t="inlineStr">
        <is>
          <t>External</t>
        </is>
      </c>
      <c r="F10" s="5" t="n">
        <v>4</v>
      </c>
      <c r="G10" s="5" t="n">
        <v>5</v>
      </c>
      <c r="H10" s="7">
        <f>IF(AND(ISNUMBER(F10),ISNUMBER(G10)),F10*G10,"")</f>
        <v/>
      </c>
      <c r="I10" s="8">
        <f>IF(H10="","",IF(H10&gt;=20,"CRITICAL",IF(H10&gt;=12,"HIGH",IF(H10&gt;=6,"MEDIUM","LOW"))))</f>
        <v/>
      </c>
      <c r="J10" s="6" t="inlineStr">
        <is>
          <t>IT Provider</t>
        </is>
      </c>
      <c r="K10" s="6" t="inlineStr">
        <is>
          <t>Replace with a business-grade firewall. Ask your IT provider for a recommendation.</t>
        </is>
      </c>
      <c r="L10" s="5" t="inlineStr"/>
      <c r="M10" s="5" t="inlineStr">
        <is>
          <t>Open</t>
        </is>
      </c>
    </row>
    <row r="11" ht="38" customHeight="1">
      <c r="A11" s="9" t="inlineStr">
        <is>
          <t>R-008</t>
        </is>
      </c>
      <c r="B11" s="10" t="inlineStr"/>
      <c r="C11" s="11" t="inlineStr">
        <is>
          <t>Securing Your Network and Devices</t>
        </is>
      </c>
      <c r="D11" s="11" t="inlineStr">
        <is>
          <t>Customer Wi-Fi is on the same network as business systems</t>
        </is>
      </c>
      <c r="E11" s="11" t="inlineStr">
        <is>
          <t>External</t>
        </is>
      </c>
      <c r="F11" s="10" t="n">
        <v>3</v>
      </c>
      <c r="G11" s="10" t="n">
        <v>4</v>
      </c>
      <c r="H11" s="12">
        <f>IF(AND(ISNUMBER(F11),ISNUMBER(G11)),F11*G11,"")</f>
        <v/>
      </c>
      <c r="I11" s="13">
        <f>IF(H11="","",IF(H11&gt;=20,"CRITICAL",IF(H11&gt;=12,"HIGH",IF(H11&gt;=6,"MEDIUM","LOW"))))</f>
        <v/>
      </c>
      <c r="J11" s="11" t="inlineStr">
        <is>
          <t>IT Provider</t>
        </is>
      </c>
      <c r="K11" s="11" t="inlineStr">
        <is>
          <t>Set up a separate guest Wi-Fi network. Keep customers off the business network.</t>
        </is>
      </c>
      <c r="L11" s="10" t="inlineStr"/>
      <c r="M11" s="10" t="inlineStr">
        <is>
          <t>Open</t>
        </is>
      </c>
    </row>
    <row r="12" ht="38" customHeight="1">
      <c r="A12" s="4" t="inlineStr">
        <is>
          <t>R-009</t>
        </is>
      </c>
      <c r="B12" s="5" t="inlineStr"/>
      <c r="C12" s="6" t="inlineStr">
        <is>
          <t>Securing Your Network and Devices</t>
        </is>
      </c>
      <c r="D12" s="6" t="inlineStr">
        <is>
          <t>Remote access to business systems is not secured properly</t>
        </is>
      </c>
      <c r="E12" s="6" t="inlineStr">
        <is>
          <t>External</t>
        </is>
      </c>
      <c r="F12" s="5" t="n">
        <v>5</v>
      </c>
      <c r="G12" s="5" t="n">
        <v>5</v>
      </c>
      <c r="H12" s="7">
        <f>IF(AND(ISNUMBER(F12),ISNUMBER(G12)),F12*G12,"")</f>
        <v/>
      </c>
      <c r="I12" s="8">
        <f>IF(H12="","",IF(H12&gt;=20,"CRITICAL",IF(H12&gt;=12,"HIGH",IF(H12&gt;=6,"MEDIUM","LOW"))))</f>
        <v/>
      </c>
      <c r="J12" s="6" t="inlineStr">
        <is>
          <t>IT Provider</t>
        </is>
      </c>
      <c r="K12" s="6" t="inlineStr">
        <is>
          <t>Implement a business VPN. Remove any direct remote access that is not protected.</t>
        </is>
      </c>
      <c r="L12" s="5" t="inlineStr"/>
      <c r="M12" s="5" t="inlineStr">
        <is>
          <t>Open</t>
        </is>
      </c>
    </row>
    <row r="13" ht="38" customHeight="1">
      <c r="A13" s="9" t="inlineStr">
        <is>
          <t>R-010</t>
        </is>
      </c>
      <c r="B13" s="10" t="inlineStr"/>
      <c r="C13" s="11" t="inlineStr">
        <is>
          <t>Securing Your Network and Devices</t>
        </is>
      </c>
      <c r="D13" s="11" t="inlineStr">
        <is>
          <t>Security software on business computers is outdated</t>
        </is>
      </c>
      <c r="E13" s="11" t="inlineStr">
        <is>
          <t>External</t>
        </is>
      </c>
      <c r="F13" s="10" t="n">
        <v>3</v>
      </c>
      <c r="G13" s="10" t="n">
        <v>4</v>
      </c>
      <c r="H13" s="12">
        <f>IF(AND(ISNUMBER(F13),ISNUMBER(G13)),F13*G13,"")</f>
        <v/>
      </c>
      <c r="I13" s="13">
        <f>IF(H13="","",IF(H13&gt;=20,"CRITICAL",IF(H13&gt;=12,"HIGH",IF(H13&gt;=6,"MEDIUM","LOW"))))</f>
        <v/>
      </c>
      <c r="J13" s="11" t="inlineStr">
        <is>
          <t>IT Provider</t>
        </is>
      </c>
      <c r="K13" s="11" t="inlineStr">
        <is>
          <t>Update security software on all devices. Enable automatic updates.</t>
        </is>
      </c>
      <c r="L13" s="10" t="inlineStr"/>
      <c r="M13" s="10" t="inlineStr">
        <is>
          <t>Open</t>
        </is>
      </c>
    </row>
    <row r="14" ht="38" customHeight="1">
      <c r="A14" s="4" t="inlineStr">
        <is>
          <t>R-011</t>
        </is>
      </c>
      <c r="B14" s="5" t="inlineStr"/>
      <c r="C14" s="6" t="inlineStr">
        <is>
          <t>Protecting Your Business Information</t>
        </is>
      </c>
      <c r="D14" s="6" t="inlineStr">
        <is>
          <t>Business data is only backed up locally — no offsite copy</t>
        </is>
      </c>
      <c r="E14" s="6" t="inlineStr">
        <is>
          <t>External</t>
        </is>
      </c>
      <c r="F14" s="5" t="n">
        <v>4</v>
      </c>
      <c r="G14" s="5" t="n">
        <v>5</v>
      </c>
      <c r="H14" s="7">
        <f>IF(AND(ISNUMBER(F14),ISNUMBER(G14)),F14*G14,"")</f>
        <v/>
      </c>
      <c r="I14" s="8">
        <f>IF(H14="","",IF(H14&gt;=20,"CRITICAL",IF(H14&gt;=12,"HIGH",IF(H14&gt;=6,"MEDIUM","LOW"))))</f>
        <v/>
      </c>
      <c r="J14" s="6" t="inlineStr">
        <is>
          <t>Owner</t>
        </is>
      </c>
      <c r="K14" s="6" t="inlineStr">
        <is>
          <t>Set up cloud backup (Backblaze B2 is a good option). Test restoration quarterly.</t>
        </is>
      </c>
      <c r="L14" s="5" t="inlineStr"/>
      <c r="M14" s="5" t="inlineStr">
        <is>
          <t>Open</t>
        </is>
      </c>
    </row>
    <row r="15" ht="38" customHeight="1">
      <c r="A15" s="9" t="inlineStr">
        <is>
          <t>R-012</t>
        </is>
      </c>
      <c r="B15" s="10" t="inlineStr"/>
      <c r="C15" s="11" t="inlineStr">
        <is>
          <t>Protecting Your Business Information</t>
        </is>
      </c>
      <c r="D15" s="11" t="inlineStr">
        <is>
          <t>Laptops are not encrypted — stolen device = exposed data</t>
        </is>
      </c>
      <c r="E15" s="11" t="inlineStr">
        <is>
          <t>External</t>
        </is>
      </c>
      <c r="F15" s="10" t="n">
        <v>3</v>
      </c>
      <c r="G15" s="10" t="n">
        <v>5</v>
      </c>
      <c r="H15" s="12">
        <f>IF(AND(ISNUMBER(F15),ISNUMBER(G15)),F15*G15,"")</f>
        <v/>
      </c>
      <c r="I15" s="13">
        <f>IF(H15="","",IF(H15&gt;=20,"CRITICAL",IF(H15&gt;=12,"HIGH",IF(H15&gt;=6,"MEDIUM","LOW"))))</f>
        <v/>
      </c>
      <c r="J15" s="11" t="inlineStr">
        <is>
          <t>IT Provider</t>
        </is>
      </c>
      <c r="K15" s="11" t="inlineStr">
        <is>
          <t>Enable BitLocker (Windows) or FileVault (Mac) on all laptops.</t>
        </is>
      </c>
      <c r="L15" s="10" t="inlineStr"/>
      <c r="M15" s="10" t="inlineStr">
        <is>
          <t>Open</t>
        </is>
      </c>
    </row>
    <row r="16" ht="38" customHeight="1">
      <c r="A16" s="4" t="inlineStr">
        <is>
          <t>R-013</t>
        </is>
      </c>
      <c r="B16" s="5" t="inlineStr"/>
      <c r="C16" s="6" t="inlineStr">
        <is>
          <t>Protecting Your Business Information</t>
        </is>
      </c>
      <c r="D16" s="6" t="inlineStr">
        <is>
          <t>No policy for how long to keep records or how to dispose of them</t>
        </is>
      </c>
      <c r="E16" s="6" t="inlineStr">
        <is>
          <t>Internal</t>
        </is>
      </c>
      <c r="F16" s="5" t="n">
        <v>2</v>
      </c>
      <c r="G16" s="5" t="n">
        <v>3</v>
      </c>
      <c r="H16" s="7">
        <f>IF(AND(ISNUMBER(F16),ISNUMBER(G16)),F16*G16,"")</f>
        <v/>
      </c>
      <c r="I16" s="8">
        <f>IF(H16="","",IF(H16&gt;=20,"CRITICAL",IF(H16&gt;=12,"HIGH",IF(H16&gt;=6,"MEDIUM","LOW"))))</f>
        <v/>
      </c>
      <c r="J16" s="6" t="inlineStr">
        <is>
          <t>Owner</t>
        </is>
      </c>
      <c r="K16" s="6" t="inlineStr">
        <is>
          <t>Write a simple data retention policy. Implement secure shredding for documents.</t>
        </is>
      </c>
      <c r="L16" s="5" t="inlineStr"/>
      <c r="M16" s="5" t="inlineStr">
        <is>
          <t>Open</t>
        </is>
      </c>
    </row>
    <row r="17" ht="38" customHeight="1">
      <c r="A17" s="9" t="inlineStr">
        <is>
          <t>R-014</t>
        </is>
      </c>
      <c r="B17" s="10" t="inlineStr"/>
      <c r="C17" s="11" t="inlineStr">
        <is>
          <t>Being Ready When Something Goes Wrong</t>
        </is>
      </c>
      <c r="D17" s="11" t="inlineStr">
        <is>
          <t>No written plan for what to do if there is a cyberattack</t>
        </is>
      </c>
      <c r="E17" s="11" t="inlineStr">
        <is>
          <t>External</t>
        </is>
      </c>
      <c r="F17" s="10" t="n">
        <v>4</v>
      </c>
      <c r="G17" s="10" t="n">
        <v>4</v>
      </c>
      <c r="H17" s="12">
        <f>IF(AND(ISNUMBER(F17),ISNUMBER(G17)),F17*G17,"")</f>
        <v/>
      </c>
      <c r="I17" s="13">
        <f>IF(H17="","",IF(H17&gt;=20,"CRITICAL",IF(H17&gt;=12,"HIGH",IF(H17&gt;=6,"MEDIUM","LOW"))))</f>
        <v/>
      </c>
      <c r="J17" s="11" t="inlineStr">
        <is>
          <t>Owner</t>
        </is>
      </c>
      <c r="K17" s="11" t="inlineStr">
        <is>
          <t>Customize and distribute the Incident Response Plan (GSG-03). Walk through it as a team.</t>
        </is>
      </c>
      <c r="L17" s="10" t="inlineStr"/>
      <c r="M17" s="10" t="inlineStr">
        <is>
          <t>Open</t>
        </is>
      </c>
    </row>
    <row r="18" ht="38" customHeight="1">
      <c r="A18" s="4" t="inlineStr">
        <is>
          <t>R-015</t>
        </is>
      </c>
      <c r="B18" s="5" t="inlineStr"/>
      <c r="C18" s="6" t="inlineStr">
        <is>
          <t>Being Ready When Something Goes Wrong</t>
        </is>
      </c>
      <c r="D18" s="6" t="inlineStr">
        <is>
          <t>No cyber insurance coverage</t>
        </is>
      </c>
      <c r="E18" s="6" t="inlineStr">
        <is>
          <t>External</t>
        </is>
      </c>
      <c r="F18" s="5" t="n">
        <v>3</v>
      </c>
      <c r="G18" s="5" t="n">
        <v>5</v>
      </c>
      <c r="H18" s="7">
        <f>IF(AND(ISNUMBER(F18),ISNUMBER(G18)),F18*G18,"")</f>
        <v/>
      </c>
      <c r="I18" s="8">
        <f>IF(H18="","",IF(H18&gt;=20,"CRITICAL",IF(H18&gt;=12,"HIGH",IF(H18&gt;=6,"MEDIUM","LOW"))))</f>
        <v/>
      </c>
      <c r="J18" s="6" t="inlineStr">
        <is>
          <t>Owner</t>
        </is>
      </c>
      <c r="K18" s="6" t="inlineStr">
        <is>
          <t>Get quotes from at least two cyber insurance providers.</t>
        </is>
      </c>
      <c r="L18" s="5" t="inlineStr"/>
      <c r="M18" s="5" t="inlineStr">
        <is>
          <t>Open</t>
        </is>
      </c>
    </row>
    <row r="19" ht="38" customHeight="1">
      <c r="A19" s="9" t="inlineStr">
        <is>
          <t>R-016</t>
        </is>
      </c>
      <c r="B19" s="10" t="inlineStr"/>
      <c r="C19" s="11" t="inlineStr">
        <is>
          <t>Managing Your Outside Vendors</t>
        </is>
      </c>
      <c r="D19" s="11" t="inlineStr">
        <is>
          <t>No list of which vendors or software tools can access business data</t>
        </is>
      </c>
      <c r="E19" s="11" t="inlineStr">
        <is>
          <t>External</t>
        </is>
      </c>
      <c r="F19" s="10" t="n">
        <v>3</v>
      </c>
      <c r="G19" s="10" t="n">
        <v>4</v>
      </c>
      <c r="H19" s="12">
        <f>IF(AND(ISNUMBER(F19),ISNUMBER(G19)),F19*G19,"")</f>
        <v/>
      </c>
      <c r="I19" s="13">
        <f>IF(H19="","",IF(H19&gt;=20,"CRITICAL",IF(H19&gt;=12,"HIGH",IF(H19&gt;=6,"MEDIUM","LOW"))))</f>
        <v/>
      </c>
      <c r="J19" s="11" t="inlineStr">
        <is>
          <t>Owner</t>
        </is>
      </c>
      <c r="K19" s="11" t="inlineStr">
        <is>
          <t>Make a simple vendor inventory. Review access quarterly.</t>
        </is>
      </c>
      <c r="L19" s="10" t="inlineStr"/>
      <c r="M19" s="10" t="inlineStr">
        <is>
          <t>Open</t>
        </is>
      </c>
    </row>
    <row r="20" ht="38" customHeight="1">
      <c r="A20" s="4" t="inlineStr">
        <is>
          <t>R-017</t>
        </is>
      </c>
      <c r="B20" s="5" t="inlineStr"/>
      <c r="C20" s="6" t="inlineStr">
        <is>
          <t>Managing Your Outside Vendors</t>
        </is>
      </c>
      <c r="D20" s="6" t="inlineStr">
        <is>
          <t>Vendor contracts do not require them to protect our data</t>
        </is>
      </c>
      <c r="E20" s="6" t="inlineStr">
        <is>
          <t>External</t>
        </is>
      </c>
      <c r="F20" s="5" t="n">
        <v>2</v>
      </c>
      <c r="G20" s="5" t="n">
        <v>4</v>
      </c>
      <c r="H20" s="7">
        <f>IF(AND(ISNUMBER(F20),ISNUMBER(G20)),F20*G20,"")</f>
        <v/>
      </c>
      <c r="I20" s="8">
        <f>IF(H20="","",IF(H20&gt;=20,"CRITICAL",IF(H20&gt;=12,"HIGH",IF(H20&gt;=6,"MEDIUM","LOW"))))</f>
        <v/>
      </c>
      <c r="J20" s="6" t="inlineStr">
        <is>
          <t>Owner</t>
        </is>
      </c>
      <c r="K20" s="6" t="inlineStr">
        <is>
          <t>Add data protection clauses to vendor contracts at next renewal.</t>
        </is>
      </c>
      <c r="L20" s="5" t="inlineStr"/>
      <c r="M20" s="5" t="inlineStr">
        <is>
          <t>Open</t>
        </is>
      </c>
    </row>
    <row r="21" ht="38" customHeight="1">
      <c r="A21" s="9" t="inlineStr">
        <is>
          <t>R-018</t>
        </is>
      </c>
      <c r="B21" s="10" t="inlineStr"/>
      <c r="C21" s="11" t="inlineStr">
        <is>
          <t>Building a Security-Aware Team</t>
        </is>
      </c>
      <c r="D21" s="11" t="inlineStr">
        <is>
          <t>Staff have never received security awareness training</t>
        </is>
      </c>
      <c r="E21" s="11" t="inlineStr">
        <is>
          <t>Internal</t>
        </is>
      </c>
      <c r="F21" s="10" t="n">
        <v>4</v>
      </c>
      <c r="G21" s="10" t="n">
        <v>4</v>
      </c>
      <c r="H21" s="12">
        <f>IF(AND(ISNUMBER(F21),ISNUMBER(G21)),F21*G21,"")</f>
        <v/>
      </c>
      <c r="I21" s="13">
        <f>IF(H21="","",IF(H21&gt;=20,"CRITICAL",IF(H21&gt;=12,"HIGH",IF(H21&gt;=6,"MEDIUM","LOW"))))</f>
        <v/>
      </c>
      <c r="J21" s="11" t="inlineStr">
        <is>
          <t>Owner</t>
        </is>
      </c>
      <c r="K21" s="11" t="inlineStr">
        <is>
          <t>Run an annual awareness session. Enroll in KnowBe4 or CISA free resources.</t>
        </is>
      </c>
      <c r="L21" s="10" t="inlineStr"/>
      <c r="M21" s="10" t="inlineStr">
        <is>
          <t>Open</t>
        </is>
      </c>
    </row>
    <row r="22" ht="38" customHeight="1">
      <c r="A22" s="4" t="inlineStr">
        <is>
          <t>R-019</t>
        </is>
      </c>
      <c r="B22" s="5" t="inlineStr"/>
      <c r="C22" s="6" t="inlineStr">
        <is>
          <t>Building a Security-Aware Team</t>
        </is>
      </c>
      <c r="D22" s="6" t="inlineStr">
        <is>
          <t>No practice phishing tests to see how staff respond</t>
        </is>
      </c>
      <c r="E22" s="6" t="inlineStr">
        <is>
          <t>Internal</t>
        </is>
      </c>
      <c r="F22" s="5" t="n">
        <v>3</v>
      </c>
      <c r="G22" s="5" t="n">
        <v>4</v>
      </c>
      <c r="H22" s="7">
        <f>IF(AND(ISNUMBER(F22),ISNUMBER(G22)),F22*G22,"")</f>
        <v/>
      </c>
      <c r="I22" s="8">
        <f>IF(H22="","",IF(H22&gt;=20,"CRITICAL",IF(H22&gt;=12,"HIGH",IF(H22&gt;=6,"MEDIUM","LOW"))))</f>
        <v/>
      </c>
      <c r="J22" s="6" t="inlineStr">
        <is>
          <t>Owner</t>
        </is>
      </c>
      <c r="K22" s="6" t="inlineStr">
        <is>
          <t>Run a practice phishing test. Use results to target additional training.</t>
        </is>
      </c>
      <c r="L22" s="5" t="inlineStr"/>
      <c r="M22" s="5" t="inlineStr">
        <is>
          <t>Open</t>
        </is>
      </c>
    </row>
    <row r="23" ht="38" customHeight="1">
      <c r="A23" s="9" t="inlineStr">
        <is>
          <t>R-020</t>
        </is>
      </c>
      <c r="B23" s="10" t="inlineStr"/>
      <c r="C23" s="11" t="inlineStr">
        <is>
          <t>Staying Safe in Cloud and Remote Work</t>
        </is>
      </c>
      <c r="D23" s="11" t="inlineStr">
        <is>
          <t>Two-step verification not turned on for cloud platforms</t>
        </is>
      </c>
      <c r="E23" s="11" t="inlineStr">
        <is>
          <t>External</t>
        </is>
      </c>
      <c r="F23" s="10" t="n">
        <v>5</v>
      </c>
      <c r="G23" s="10" t="n">
        <v>5</v>
      </c>
      <c r="H23" s="12">
        <f>IF(AND(ISNUMBER(F23),ISNUMBER(G23)),F23*G23,"")</f>
        <v/>
      </c>
      <c r="I23" s="13">
        <f>IF(H23="","",IF(H23&gt;=20,"CRITICAL",IF(H23&gt;=12,"HIGH",IF(H23&gt;=6,"MEDIUM","LOW"))))</f>
        <v/>
      </c>
      <c r="J23" s="11" t="inlineStr">
        <is>
          <t>Owner</t>
        </is>
      </c>
      <c r="K23" s="11" t="inlineStr">
        <is>
          <t>Enable two-step verification for all cloud accounts — especially admin accounts.</t>
        </is>
      </c>
      <c r="L23" s="10" t="inlineStr"/>
      <c r="M23" s="10" t="inlineStr">
        <is>
          <t>Open</t>
        </is>
      </c>
    </row>
  </sheetData>
  <mergeCells count="2">
    <mergeCell ref="A2:M2"/>
    <mergeCell ref="A1:M1"/>
  </mergeCells>
  <conditionalFormatting sqref="I4:I23">
    <cfRule type="cellIs" priority="1" operator="equal" dxfId="0">
      <formula>"CRITICAL"</formula>
    </cfRule>
    <cfRule type="cellIs" priority="2" operator="equal" dxfId="1">
      <formula>"HIGH"</formula>
    </cfRule>
    <cfRule type="cellIs" priority="3" operator="equal" dxfId="2">
      <formula>"MEDIUM"</formula>
    </cfRule>
    <cfRule type="cellIs" priority="4" operator="equal" dxfId="3">
      <formula>"LOW"</formula>
    </cfRule>
  </conditionalFormatting>
  <dataValidations count="1">
    <dataValidation sqref="M4:M53" showDropDown="0" showInputMessage="0" showErrorMessage="0" allowBlank="0" type="list">
      <formula1>"Open,In Progress,Fixed,Accepted,Closed"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46" customWidth="1" min="2" max="2"/>
    <col width="24" customWidth="1" min="3" max="3"/>
  </cols>
  <sheetData>
    <row r="1" ht="38" customHeight="1">
      <c r="A1" s="1" t="inlineStr">
        <is>
          <t>Green Security Group  ·  Risk Register — How to Use</t>
        </is>
      </c>
    </row>
    <row r="2" ht="20" customHeight="1">
      <c r="A2" s="2" t="inlineStr">
        <is>
          <t>greensecuritygroup.com  ·  paul@greensecuritygroup.com</t>
        </is>
      </c>
    </row>
    <row r="4" ht="24" customHeight="1">
      <c r="A4" s="14" t="inlineStr">
        <is>
          <t>HOW LIKELY IS THIS? (Column F)</t>
        </is>
      </c>
    </row>
    <row r="5" ht="26" customHeight="1">
      <c r="A5" s="15" t="inlineStr">
        <is>
          <t>Score</t>
        </is>
      </c>
      <c r="B5" s="16" t="inlineStr">
        <is>
          <t>Likelihood</t>
        </is>
      </c>
      <c r="C5" s="16" t="inlineStr">
        <is>
          <t>Description</t>
        </is>
      </c>
    </row>
    <row r="6" ht="26" customHeight="1">
      <c r="A6" s="17" t="inlineStr">
        <is>
          <t>1</t>
        </is>
      </c>
      <c r="B6" s="6" t="inlineStr">
        <is>
          <t>Very Unlikely</t>
        </is>
      </c>
      <c r="C6" s="6" t="inlineStr">
        <is>
          <t>Has not happened before and is unlikely in the next year</t>
        </is>
      </c>
    </row>
    <row r="7" ht="26" customHeight="1">
      <c r="A7" s="18" t="inlineStr">
        <is>
          <t>2</t>
        </is>
      </c>
      <c r="B7" s="11" t="inlineStr">
        <is>
          <t>Unlikely</t>
        </is>
      </c>
      <c r="C7" s="11" t="inlineStr">
        <is>
          <t>Could happen but probably will not this year</t>
        </is>
      </c>
    </row>
    <row r="8" ht="26" customHeight="1">
      <c r="A8" s="17" t="inlineStr">
        <is>
          <t>3</t>
        </is>
      </c>
      <c r="B8" s="6" t="inlineStr">
        <is>
          <t>Possible</t>
        </is>
      </c>
      <c r="C8" s="6" t="inlineStr">
        <is>
          <t>Could realistically happen within the next 12 months</t>
        </is>
      </c>
    </row>
    <row r="9" ht="26" customHeight="1">
      <c r="A9" s="18" t="inlineStr">
        <is>
          <t>4</t>
        </is>
      </c>
      <c r="B9" s="11" t="inlineStr">
        <is>
          <t>Likely</t>
        </is>
      </c>
      <c r="C9" s="11" t="inlineStr">
        <is>
          <t>Likely to happen at least once in the next year</t>
        </is>
      </c>
    </row>
    <row r="10" ht="26" customHeight="1">
      <c r="A10" s="17" t="inlineStr">
        <is>
          <t>5</t>
        </is>
      </c>
      <c r="B10" s="6" t="inlineStr">
        <is>
          <t>Almost Certain</t>
        </is>
      </c>
      <c r="C10" s="6" t="inlineStr">
        <is>
          <t>Has happened recently or is expected imminently</t>
        </is>
      </c>
    </row>
    <row r="12" ht="24" customHeight="1">
      <c r="A12" s="14" t="inlineStr">
        <is>
          <t>HOW BAD WOULD IT BE? (Column G)</t>
        </is>
      </c>
    </row>
    <row r="13" ht="26" customHeight="1">
      <c r="A13" s="15" t="inlineStr">
        <is>
          <t>Score</t>
        </is>
      </c>
      <c r="B13" s="16" t="inlineStr">
        <is>
          <t>Impact</t>
        </is>
      </c>
      <c r="C13" s="16" t="inlineStr">
        <is>
          <t>Description</t>
        </is>
      </c>
    </row>
    <row r="14" ht="26" customHeight="1">
      <c r="A14" s="17" t="inlineStr">
        <is>
          <t>1</t>
        </is>
      </c>
      <c r="B14" s="6" t="inlineStr">
        <is>
          <t>Minimal</t>
        </is>
      </c>
      <c r="C14" s="6" t="inlineStr">
        <is>
          <t>Minor disruption — resolved quickly with no lasting effect</t>
        </is>
      </c>
    </row>
    <row r="15" ht="26" customHeight="1">
      <c r="A15" s="18" t="inlineStr">
        <is>
          <t>2</t>
        </is>
      </c>
      <c r="B15" s="11" t="inlineStr">
        <is>
          <t>Minor</t>
        </is>
      </c>
      <c r="C15" s="11" t="inlineStr">
        <is>
          <t>Some disruption but manageable without major cost or effort</t>
        </is>
      </c>
    </row>
    <row r="16" ht="26" customHeight="1">
      <c r="A16" s="17" t="inlineStr">
        <is>
          <t>3</t>
        </is>
      </c>
      <c r="B16" s="6" t="inlineStr">
        <is>
          <t>Moderate</t>
        </is>
      </c>
      <c r="C16" s="6" t="inlineStr">
        <is>
          <t>Significant disruption — requires real effort and cost to fix</t>
        </is>
      </c>
    </row>
    <row r="17" ht="26" customHeight="1">
      <c r="A17" s="18" t="inlineStr">
        <is>
          <t>4</t>
        </is>
      </c>
      <c r="B17" s="11" t="inlineStr">
        <is>
          <t>Serious</t>
        </is>
      </c>
      <c r="C17" s="11" t="inlineStr">
        <is>
          <t>Major harm to operations, finances, or client relationships</t>
        </is>
      </c>
    </row>
    <row r="18" ht="26" customHeight="1">
      <c r="A18" s="17" t="inlineStr">
        <is>
          <t>5</t>
        </is>
      </c>
      <c r="B18" s="6" t="inlineStr">
        <is>
          <t>Severe</t>
        </is>
      </c>
      <c r="C18" s="6" t="inlineStr">
        <is>
          <t>Could threaten the survival or reputation of the business</t>
        </is>
      </c>
    </row>
    <row r="20" ht="24" customHeight="1">
      <c r="A20" s="14" t="inlineStr">
        <is>
          <t>WHAT YOUR SCORE MEANS (Column H = F x G)</t>
        </is>
      </c>
    </row>
    <row r="21" ht="26" customHeight="1">
      <c r="A21" s="15" t="inlineStr">
        <is>
          <t>Score</t>
        </is>
      </c>
      <c r="B21" s="16" t="inlineStr">
        <is>
          <t>Level</t>
        </is>
      </c>
      <c r="C21" s="16" t="inlineStr">
        <is>
          <t>What to Do</t>
        </is>
      </c>
    </row>
    <row r="22" ht="30" customHeight="1">
      <c r="A22" s="5" t="inlineStr">
        <is>
          <t>20-25</t>
        </is>
      </c>
      <c r="B22" s="19" t="inlineStr">
        <is>
          <t>CRITICAL</t>
        </is>
      </c>
      <c r="C22" s="6" t="inlineStr">
        <is>
          <t>Act immediately. This is a serious gap that needs urgent attention.</t>
        </is>
      </c>
    </row>
    <row r="23" ht="30" customHeight="1">
      <c r="A23" s="10" t="inlineStr">
        <is>
          <t>12-19</t>
        </is>
      </c>
      <c r="B23" s="20" t="inlineStr">
        <is>
          <t>HIGH</t>
        </is>
      </c>
      <c r="C23" s="11" t="inlineStr">
        <is>
          <t>Address within 30 days. Assign a named owner and track it actively.</t>
        </is>
      </c>
    </row>
    <row r="24" ht="30" customHeight="1">
      <c r="A24" s="5" t="inlineStr">
        <is>
          <t>6-11</t>
        </is>
      </c>
      <c r="B24" s="21" t="inlineStr">
        <is>
          <t>MEDIUM</t>
        </is>
      </c>
      <c r="C24" s="6" t="inlineStr">
        <is>
          <t>Plan to address within 60-90 days. Include in your next review cycle.</t>
        </is>
      </c>
    </row>
    <row r="25" ht="30" customHeight="1">
      <c r="A25" s="10" t="inlineStr">
        <is>
          <t>1-5</t>
        </is>
      </c>
      <c r="B25" s="22" t="inlineStr">
        <is>
          <t>LOW</t>
        </is>
      </c>
      <c r="C25" s="11" t="inlineStr">
        <is>
          <t>Monitor and review quarterly. Accept with a written note if cost to fix exceeds the risk.</t>
        </is>
      </c>
    </row>
  </sheetData>
  <mergeCells count="5">
    <mergeCell ref="A1:C1"/>
    <mergeCell ref="A12:C12"/>
    <mergeCell ref="A4:C4"/>
    <mergeCell ref="A20:C20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2026-05-26T21:46:48Z</dcterms:created>
  <dcterms:modified xmlns:dcterms="http://purl.org/dc/terms/" xmlns:xsi="http://www.w3.org/2001/XMLSchema-instance" xsi:type="dcterms:W3CDTF">2026-05-26T21:46:48Z</dcterms:modified>
</cp:coreProperties>
</file>